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eshrao\Desktop\WEB DEVOLEPMENT IP-11283\"/>
    </mc:Choice>
  </mc:AlternateContent>
  <xr:revisionPtr revIDLastSave="0" documentId="13_ncr:1_{A98DA16B-1022-4821-907D-61359511B06D}" xr6:coauthVersionLast="47" xr6:coauthVersionMax="47" xr10:uidLastSave="{00000000-0000-0000-0000-000000000000}"/>
  <bookViews>
    <workbookView xWindow="-110" yWindow="-110" windowWidth="19420" windowHeight="10420" activeTab="1" xr2:uid="{2ED63D37-65B8-644F-B9EB-D9FA1E9C0C69}"/>
  </bookViews>
  <sheets>
    <sheet name="Instructions" sheetId="3" r:id="rId1"/>
    <sheet name="TRACEABILITY MATRIX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</calcChain>
</file>

<file path=xl/sharedStrings.xml><?xml version="1.0" encoding="utf-8"?>
<sst xmlns="http://schemas.openxmlformats.org/spreadsheetml/2006/main" count="119" uniqueCount="103">
  <si>
    <t>INDUSTRY ACADEMIA COMMUNITY</t>
  </si>
  <si>
    <t xml:space="preserve">DOMAIN NAME: </t>
  </si>
  <si>
    <t xml:space="preserve">INTERN NAME: </t>
  </si>
  <si>
    <t>DOCUMENT NAME:</t>
  </si>
  <si>
    <t>REQUIREMENT TRACEABILITY MATRIX (RTM)</t>
  </si>
  <si>
    <t>CREATED ON:</t>
  </si>
  <si>
    <t>DD-MMM-YYYY</t>
  </si>
  <si>
    <t>Purpose of Document</t>
  </si>
  <si>
    <t>A traceability matrix is a document that details the technical requirements for a given test scenario and its current state</t>
  </si>
  <si>
    <t>The RTM will show the requirements coverage in terms of the number of test cases, design status, and execution status. It will also show the UAT status for a specific test case.</t>
  </si>
  <si>
    <t>INSTRUCTIONS:</t>
  </si>
  <si>
    <r>
      <t xml:space="preserve">1. Text in </t>
    </r>
    <r>
      <rPr>
        <i/>
        <sz val="11"/>
        <color theme="1"/>
        <rFont val="Calibri (Body)"/>
      </rPr>
      <t>Italics</t>
    </r>
    <r>
      <rPr>
        <sz val="11"/>
        <color theme="1"/>
        <rFont val="Calibri"/>
        <family val="2"/>
        <scheme val="minor"/>
      </rPr>
      <t xml:space="preserve"> are instructions for completing the document</t>
    </r>
  </si>
  <si>
    <r>
      <t xml:space="preserve">2. Text in </t>
    </r>
    <r>
      <rPr>
        <sz val="11"/>
        <color theme="5"/>
        <rFont val="Calibri (Body)"/>
      </rPr>
      <t>orange</t>
    </r>
    <r>
      <rPr>
        <sz val="11"/>
        <color theme="1"/>
        <rFont val="Calibri"/>
        <family val="2"/>
        <scheme val="minor"/>
      </rPr>
      <t xml:space="preserve"> is just for reference and should be deleted before submitting the document</t>
    </r>
  </si>
  <si>
    <t>3. Comments are added to some of the cells, please read the comments to better understand the terms</t>
  </si>
  <si>
    <t>4. All fields must be duly filled</t>
  </si>
  <si>
    <t>5. The descriptions for what to be filled in each of the fields are provided in the template.</t>
  </si>
  <si>
    <t>6. Clear all the sample data/instructions provided in the template. The data/instruction provided is only for reference purposes.</t>
  </si>
  <si>
    <t>TRACEABILITY MATRIX</t>
  </si>
  <si>
    <t>PROJECT NAME</t>
  </si>
  <si>
    <t>TEST CASE COUNT</t>
  </si>
  <si>
    <t>DOCUMENT VERSION NUMBER</t>
  </si>
  <si>
    <t>PASSED</t>
  </si>
  <si>
    <t>PROJECT MANAGER</t>
  </si>
  <si>
    <t>FAILED</t>
  </si>
  <si>
    <t>EXECUTED BY</t>
  </si>
  <si>
    <t>SKIPPED</t>
  </si>
  <si>
    <t>SL.NO</t>
  </si>
  <si>
    <t>TEST CASE</t>
  </si>
  <si>
    <t>TEST INPUT DATA</t>
  </si>
  <si>
    <t>TEST PROCEDURE</t>
  </si>
  <si>
    <t>EXPECTED RESULT</t>
  </si>
  <si>
    <t>ACTUAL RESULT</t>
  </si>
  <si>
    <t xml:space="preserve">STATUS </t>
  </si>
  <si>
    <t>COMMENTS</t>
  </si>
  <si>
    <t>MENTION THE TEST CASE FOR TESTING THE PRODUCT</t>
  </si>
  <si>
    <t>ENTER THE INPUT DATA FOR TESTING THE PRODUCT</t>
  </si>
  <si>
    <t>SELECT THE TESTING METHOD. FOR REFERENCE, THE DIFFERENT TYPES OF COMMONLY USED TESTING IS PROVIDED IN THE PROJECT METHODOLOGY DOCUMENT</t>
  </si>
  <si>
    <t>MENTION THE EXPECTED RESULT AFTER THE PRODUCT IS TESTED</t>
  </si>
  <si>
    <t>ENTER THE ACTUAL RESULT OBTAINED AFTER TESTING THE PRODUCT</t>
  </si>
  <si>
    <t>ENTER ANY ADDITIONAL COMMENTS REGARDING THE PROCEDURE IF ANY</t>
  </si>
  <si>
    <t>Add columns above this row</t>
  </si>
  <si>
    <t>College-Finder</t>
  </si>
  <si>
    <t>Vinith Christopher</t>
  </si>
  <si>
    <t>Talisetty Mohan ranga</t>
  </si>
  <si>
    <t>Expected Result</t>
  </si>
  <si>
    <t>Actual Result</t>
  </si>
  <si>
    <t>Status</t>
  </si>
  <si>
    <t>TC01</t>
  </si>
  <si>
    <t>Search by Course</t>
  </si>
  <si>
    <t>User searches colleges using course name like BTech, MBA</t>
  </si>
  <si>
    <t>Matching colleges should be displayed</t>
  </si>
  <si>
    <t>Correct colleges displayed</t>
  </si>
  <si>
    <t>Passed</t>
  </si>
  <si>
    <t>TC02</t>
  </si>
  <si>
    <t>Search by Course + City</t>
  </si>
  <si>
    <t>User searches using both course and city</t>
  </si>
  <si>
    <t>Colleges matching both filters should appear</t>
  </si>
  <si>
    <t>Correct filtered results shown</t>
  </si>
  <si>
    <t>TC03</t>
  </si>
  <si>
    <t>Case-Insensitive Search</t>
  </si>
  <si>
    <t>User enters lowercase/uppercase values</t>
  </si>
  <si>
    <t>Search should work regardless of case</t>
  </si>
  <si>
    <t>Working correctly using LOWER()</t>
  </si>
  <si>
    <t>TC04</t>
  </si>
  <si>
    <t>Empty Input Handling</t>
  </si>
  <si>
    <t>User clicks search without entering course</t>
  </si>
  <si>
    <t>Error message should appear</t>
  </si>
  <si>
    <t>Alert shown correctly</t>
  </si>
  <si>
    <t>TC05</t>
  </si>
  <si>
    <t>Database Connectivity</t>
  </si>
  <si>
    <t>Backend connects with MySQL database</t>
  </si>
  <si>
    <t>Successful DB connection</t>
  </si>
  <si>
    <t>Connected successfully</t>
  </si>
  <si>
    <t>TC06</t>
  </si>
  <si>
    <t>API Response</t>
  </si>
  <si>
    <t>Backend /search API returns JSON data</t>
  </si>
  <si>
    <t>Proper JSON response should return</t>
  </si>
  <si>
    <t>Working correctly</t>
  </si>
  <si>
    <t>TC07</t>
  </si>
  <si>
    <t>Dynamic Result Display</t>
  </si>
  <si>
    <t>Frontend displays backend data dynamically</t>
  </si>
  <si>
    <t>Cards should render correctly</t>
  </si>
  <si>
    <t>Results shown properly</t>
  </si>
  <si>
    <t>TC08</t>
  </si>
  <si>
    <t>UI Responsiveness</t>
  </si>
  <si>
    <t>Website opens properly on desktop/mobile</t>
  </si>
  <si>
    <t>Layout should remain usable</t>
  </si>
  <si>
    <t>UI responsive</t>
  </si>
  <si>
    <t>TC09</t>
  </si>
  <si>
    <t>Deployment Setup</t>
  </si>
  <si>
    <t>Project prepared for deployment (Frontend + Backend)</t>
  </si>
  <si>
    <t>Deployment-ready structure</t>
  </si>
  <si>
    <t>Prepared for deployment</t>
  </si>
  <si>
    <t>Open the website, enter a course name like BTech or MBA in the search bar, and click Search. Verify that colleges offering that course are displayed.</t>
  </si>
  <si>
    <t>Enter both course name and city (example: MBA + Mumbai) and click Search. Verify that only colleges matching both conditions are shown.</t>
  </si>
  <si>
    <t>Enter the same course using different cases like mba, MBA, or MbA and perform search. Verify that results remain the same regardless of text case.</t>
  </si>
  <si>
    <t>Check project folder structure including frontend files, backend files, and database setup. Verify that the application is properly organized and ready for deployment.</t>
  </si>
  <si>
    <t>Open the website on desktop view and mobile view (or resize browser window). Verify that layout remains readable and usable on different screen sizes.</t>
  </si>
  <si>
    <t>Trigger the /search API from frontend by entering valid input and clicking Search. Verify that backend returns proper JSON data successfully.</t>
  </si>
  <si>
    <t>Perform a valid search from frontend and observe the results section. Verify that college cards are dynamically generated and displayed correctly.</t>
  </si>
  <si>
    <t>Leave the search field empty and click Search. Verify that the system shows an error message or validation alert instead of blank results.</t>
  </si>
  <si>
    <t>Start the backend server using Node.js and check terminal logs. Verify that MySQL connects successfully without connection errors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</si>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</sst>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273755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 (Body)"/>
    </font>
    <font>
      <sz val="11"/>
      <color theme="5"/>
      <name val="Calibri (Body)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A7313"/>
        <bgColor indexed="64"/>
      </patternFill>
    </fill>
    <fill>
      <patternFill patternType="solid">
        <fgColor rgb="FFFEC601"/>
        <bgColor indexed="64"/>
      </patternFill>
    </fill>
    <fill>
      <patternFill patternType="solid">
        <fgColor rgb="FF3DA5D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3" xfId="0" applyBorder="1"/>
    <xf numFmtId="0" fontId="0" fillId="2" borderId="4" xfId="0" applyFill="1" applyBorder="1"/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5" xfId="0" applyFill="1" applyBorder="1"/>
    <xf numFmtId="0" fontId="0" fillId="2" borderId="0" xfId="0" applyFill="1"/>
    <xf numFmtId="0" fontId="0" fillId="0" borderId="4" xfId="0" applyBorder="1"/>
    <xf numFmtId="0" fontId="0" fillId="0" borderId="6" xfId="0" applyBorder="1"/>
    <xf numFmtId="0" fontId="0" fillId="0" borderId="5" xfId="0" applyBorder="1"/>
    <xf numFmtId="0" fontId="2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6" xfId="0" applyFont="1" applyFill="1" applyBorder="1"/>
    <xf numFmtId="0" fontId="3" fillId="5" borderId="0" xfId="0" applyFont="1" applyFill="1" applyAlignment="1">
      <alignment horizontal="center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0" fillId="0" borderId="0" xfId="0" applyAlignment="1">
      <alignment horizontal="left" wrapText="1"/>
    </xf>
    <xf numFmtId="0" fontId="2" fillId="4" borderId="6" xfId="0" applyFont="1" applyFill="1" applyBorder="1" applyAlignment="1">
      <alignment horizontal="left"/>
    </xf>
    <xf numFmtId="0" fontId="0" fillId="0" borderId="6" xfId="0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vertical="top"/>
    </xf>
  </cellXfs>
  <cellStyles count="1">
    <cellStyle name="Normal" xfId="0" builtinId="0"/>
  </cellStyles>
  <dxfs count="10"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3DA5D9"/>
        </patternFill>
      </fill>
    </dxf>
  </dxfs>
  <tableStyles count="0" defaultTableStyle="TableStyleMedium2" defaultPivotStyle="PivotStyleLight16"/>
  <colors>
    <mruColors>
      <color rgb="FF273755"/>
      <color rgb="FF3DA5D9"/>
      <color rgb="FF3AD5D9"/>
      <color rgb="FFFEC601"/>
      <color rgb="FFFCE601"/>
      <color rgb="FFEA73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28575</xdr:rowOff>
    </xdr:from>
    <xdr:to>
      <xdr:col>1</xdr:col>
      <xdr:colOff>1038224</xdr:colOff>
      <xdr:row>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E3FD2F-0721-4D28-B51B-FEA8A309E5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56" t="23889" r="-556" b="27222"/>
        <a:stretch/>
      </xdr:blipFill>
      <xdr:spPr>
        <a:xfrm>
          <a:off x="0" y="266700"/>
          <a:ext cx="2047874" cy="952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AE636-D92B-6543-A2D8-F235CDB97954}" name="Table120" displayName="Table120" ref="C9:J31" totalsRowShown="0" headerRowDxfId="9" dataDxfId="0">
  <autoFilter ref="C9:J31" xr:uid="{53BFDE25-0CB2-427A-9EA0-80C4CB555FE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FE279A7B-108E-714A-A416-5EC028F6CC54}" name="SL.NO" dataDxfId="8"/>
    <tableColumn id="2" xr3:uid="{44494901-52D2-3C44-93A2-5C263EBD3805}" name="TEST CASE" dataDxfId="7"/>
    <tableColumn id="3" xr3:uid="{B895A980-3627-7644-AA29-CBBE6751630F}" name="TEST INPUT DATA" dataDxfId="6"/>
    <tableColumn id="4" xr3:uid="{2A41CD7F-B7C2-3B42-BDB8-03A56383D5A4}" name="TEST PROCEDURE" dataDxfId="5"/>
    <tableColumn id="5" xr3:uid="{79C5BE52-870D-EC41-BB17-F4C073E7982C}" name="EXPECTED RESULT" dataDxfId="4"/>
    <tableColumn id="6" xr3:uid="{26251717-A519-5C4D-A731-D86BA350A67D}" name="ACTUAL RESULT" dataDxfId="3"/>
    <tableColumn id="7" xr3:uid="{1408CA5C-8392-A74F-A193-53EB7B07500C}" name="STATUS " dataDxfId="2"/>
    <tableColumn id="8" xr3:uid="{A83549AD-D35E-B949-93D3-45284B25F010}" name="COMMENTS" dataDxfId="1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3EA8-E937-F246-B70E-5565BE7D790F}">
  <dimension ref="A1:B28"/>
  <sheetViews>
    <sheetView workbookViewId="0">
      <selection activeCell="B29" sqref="B29"/>
    </sheetView>
  </sheetViews>
  <sheetFormatPr defaultColWidth="11.453125" defaultRowHeight="14.5"/>
  <cols>
    <col min="1" max="1" width="15.1796875" customWidth="1"/>
    <col min="2" max="2" width="21.7265625" customWidth="1"/>
  </cols>
  <sheetData>
    <row r="1" spans="1:2" ht="18.5">
      <c r="A1" s="20" t="s">
        <v>0</v>
      </c>
    </row>
    <row r="8" spans="1:2">
      <c r="A8" s="11" t="s">
        <v>1</v>
      </c>
    </row>
    <row r="9" spans="1:2">
      <c r="A9" s="11" t="s">
        <v>2</v>
      </c>
    </row>
    <row r="10" spans="1:2">
      <c r="A10" s="11" t="s">
        <v>3</v>
      </c>
      <c r="B10" t="s">
        <v>4</v>
      </c>
    </row>
    <row r="11" spans="1:2">
      <c r="A11" s="11" t="s">
        <v>5</v>
      </c>
      <c r="B11" t="s">
        <v>6</v>
      </c>
    </row>
    <row r="14" spans="1:2">
      <c r="A14" s="11" t="s">
        <v>7</v>
      </c>
    </row>
    <row r="15" spans="1:2">
      <c r="A15" t="s">
        <v>8</v>
      </c>
    </row>
    <row r="16" spans="1:2">
      <c r="A16" s="21" t="s">
        <v>9</v>
      </c>
    </row>
    <row r="17" spans="1:1">
      <c r="A17" s="21"/>
    </row>
    <row r="18" spans="1:1">
      <c r="A18" s="22" t="s">
        <v>10</v>
      </c>
    </row>
    <row r="19" spans="1:1">
      <c r="A19" s="21" t="s">
        <v>11</v>
      </c>
    </row>
    <row r="20" spans="1:1">
      <c r="A20" s="21" t="s">
        <v>12</v>
      </c>
    </row>
    <row r="21" spans="1:1">
      <c r="A21" s="21" t="s">
        <v>13</v>
      </c>
    </row>
    <row r="22" spans="1:1">
      <c r="A22" s="21" t="s">
        <v>14</v>
      </c>
    </row>
    <row r="23" spans="1:1">
      <c r="A23" s="21" t="s">
        <v>15</v>
      </c>
    </row>
    <row r="24" spans="1:1">
      <c r="A24" s="21" t="s">
        <v>16</v>
      </c>
    </row>
    <row r="25" spans="1:1">
      <c r="A25" s="21"/>
    </row>
    <row r="26" spans="1:1">
      <c r="A26" s="23"/>
    </row>
    <row r="27" spans="1:1">
      <c r="A27" s="21"/>
    </row>
    <row r="28" spans="1:1">
      <c r="A28" s="2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BACFB-7301-504C-86AD-6CCAEB790C32}">
  <sheetPr>
    <tabColor theme="7" tint="0.59999389629810485"/>
  </sheetPr>
  <dimension ref="B1:K32"/>
  <sheetViews>
    <sheetView showGridLines="0" tabSelected="1" topLeftCell="A19" workbookViewId="0">
      <selection activeCell="J21" sqref="J21"/>
    </sheetView>
  </sheetViews>
  <sheetFormatPr defaultColWidth="8.81640625" defaultRowHeight="14.5"/>
  <cols>
    <col min="1" max="1" width="2" customWidth="1"/>
    <col min="2" max="2" width="1.7265625" customWidth="1"/>
    <col min="3" max="3" width="11" customWidth="1"/>
    <col min="4" max="5" width="18.26953125" customWidth="1"/>
    <col min="6" max="8" width="18.1796875" customWidth="1"/>
    <col min="9" max="9" width="22" customWidth="1"/>
    <col min="10" max="10" width="27.1796875" customWidth="1"/>
    <col min="11" max="11" width="3.1796875" customWidth="1"/>
    <col min="12" max="12" width="3.7265625" customWidth="1"/>
  </cols>
  <sheetData>
    <row r="1" spans="2:11" ht="26">
      <c r="B1" s="1"/>
      <c r="C1" s="26" t="s">
        <v>17</v>
      </c>
      <c r="D1" s="27"/>
      <c r="E1" s="27"/>
      <c r="F1" s="27"/>
      <c r="G1" s="27"/>
      <c r="H1" s="27"/>
      <c r="I1" s="27"/>
      <c r="J1" s="27"/>
      <c r="K1" s="2"/>
    </row>
    <row r="2" spans="2:11" s="7" customFormat="1" ht="26">
      <c r="B2" s="3"/>
      <c r="C2" s="4"/>
      <c r="D2" s="5"/>
      <c r="E2" s="5"/>
      <c r="F2" s="5"/>
      <c r="G2" s="5"/>
      <c r="H2" s="5"/>
      <c r="I2" s="5"/>
      <c r="J2" s="5"/>
      <c r="K2" s="6"/>
    </row>
    <row r="3" spans="2:11">
      <c r="B3" s="8"/>
      <c r="C3" s="24" t="s">
        <v>18</v>
      </c>
      <c r="D3" s="24"/>
      <c r="E3" s="24"/>
      <c r="F3" s="25" t="s">
        <v>41</v>
      </c>
      <c r="G3" s="25"/>
      <c r="H3" s="25"/>
      <c r="I3" s="15" t="s">
        <v>19</v>
      </c>
      <c r="J3" s="9">
        <v>9</v>
      </c>
      <c r="K3" s="10"/>
    </row>
    <row r="4" spans="2:11">
      <c r="B4" s="8"/>
      <c r="C4" s="24" t="s">
        <v>20</v>
      </c>
      <c r="D4" s="24"/>
      <c r="E4" s="24"/>
      <c r="F4" s="25"/>
      <c r="G4" s="25"/>
      <c r="H4" s="25"/>
      <c r="I4" s="15" t="s">
        <v>21</v>
      </c>
      <c r="J4" s="9">
        <f>COUNTIF(Table120[[STATUS ]],"PASSED")</f>
        <v>9</v>
      </c>
      <c r="K4" s="10"/>
    </row>
    <row r="5" spans="2:11">
      <c r="B5" s="8"/>
      <c r="C5" s="24" t="s">
        <v>22</v>
      </c>
      <c r="D5" s="24"/>
      <c r="E5" s="24"/>
      <c r="F5" s="25" t="s">
        <v>42</v>
      </c>
      <c r="G5" s="25"/>
      <c r="H5" s="25"/>
      <c r="I5" s="15" t="s">
        <v>23</v>
      </c>
      <c r="J5" s="9">
        <f>COUNTIF(Table120[[STATUS ]],"FAILED")</f>
        <v>0</v>
      </c>
      <c r="K5" s="10"/>
    </row>
    <row r="6" spans="2:11">
      <c r="B6" s="8"/>
      <c r="C6" s="24" t="s">
        <v>24</v>
      </c>
      <c r="D6" s="24"/>
      <c r="E6" s="24"/>
      <c r="F6" s="25" t="s">
        <v>43</v>
      </c>
      <c r="G6" s="25"/>
      <c r="H6" s="25"/>
      <c r="I6" s="15" t="s">
        <v>25</v>
      </c>
      <c r="J6" s="9">
        <f>COUNTIF(Table120[[STATUS ]],"SKIPPED")</f>
        <v>0</v>
      </c>
      <c r="K6" s="10"/>
    </row>
    <row r="7" spans="2:11">
      <c r="B7" s="8"/>
      <c r="K7" s="10"/>
    </row>
    <row r="8" spans="2:11">
      <c r="B8" s="8"/>
      <c r="K8" s="10"/>
    </row>
    <row r="9" spans="2:11">
      <c r="B9" s="8"/>
      <c r="C9" s="16" t="s">
        <v>26</v>
      </c>
      <c r="D9" s="16" t="s">
        <v>27</v>
      </c>
      <c r="E9" s="16" t="s">
        <v>28</v>
      </c>
      <c r="F9" s="16" t="s">
        <v>29</v>
      </c>
      <c r="G9" s="16" t="s">
        <v>30</v>
      </c>
      <c r="H9" s="16" t="s">
        <v>31</v>
      </c>
      <c r="I9" s="16" t="s">
        <v>32</v>
      </c>
      <c r="J9" s="16" t="s">
        <v>33</v>
      </c>
      <c r="K9" s="10"/>
    </row>
    <row r="10" spans="2:11">
      <c r="B10" s="8"/>
      <c r="C10" s="29"/>
      <c r="D10" s="29"/>
      <c r="E10" s="29"/>
      <c r="F10" s="29"/>
      <c r="G10" s="29"/>
      <c r="H10" s="29"/>
      <c r="I10" s="29"/>
      <c r="J10" s="29"/>
      <c r="K10" s="10"/>
    </row>
    <row r="11" spans="2:11" ht="159.5">
      <c r="B11" s="8"/>
      <c r="C11" s="18"/>
      <c r="D11" s="17" t="s">
        <v>34</v>
      </c>
      <c r="E11" s="17" t="s">
        <v>35</v>
      </c>
      <c r="F11" s="17" t="s">
        <v>36</v>
      </c>
      <c r="G11" s="17" t="s">
        <v>37</v>
      </c>
      <c r="H11" s="17" t="s">
        <v>38</v>
      </c>
      <c r="I11" s="18"/>
      <c r="J11" s="17" t="s">
        <v>39</v>
      </c>
      <c r="K11" s="10"/>
    </row>
    <row r="12" spans="2:11">
      <c r="B12" s="8"/>
      <c r="C12" s="30"/>
      <c r="D12" s="30"/>
      <c r="E12" s="30"/>
      <c r="F12" s="29"/>
      <c r="G12" s="30" t="s">
        <v>44</v>
      </c>
      <c r="H12" s="30" t="s">
        <v>45</v>
      </c>
      <c r="I12" s="30" t="s">
        <v>46</v>
      </c>
      <c r="J12" s="29"/>
      <c r="K12" s="10"/>
    </row>
    <row r="13" spans="2:11" ht="116">
      <c r="B13" s="8"/>
      <c r="C13" s="31" t="s">
        <v>47</v>
      </c>
      <c r="D13" s="31" t="s">
        <v>48</v>
      </c>
      <c r="E13" s="31" t="s">
        <v>49</v>
      </c>
      <c r="F13" s="31" t="s">
        <v>93</v>
      </c>
      <c r="G13" s="31" t="s">
        <v>50</v>
      </c>
      <c r="H13" s="31" t="s">
        <v>51</v>
      </c>
      <c r="I13" s="31" t="s">
        <v>52</v>
      </c>
      <c r="J13" s="32" t="s">
        <v>102</v>
      </c>
      <c r="K13" s="10"/>
    </row>
    <row r="14" spans="2:11" ht="130.5">
      <c r="B14" s="8"/>
      <c r="C14" s="31" t="s">
        <v>53</v>
      </c>
      <c r="D14" s="31" t="s">
        <v>54</v>
      </c>
      <c r="E14" s="31" t="s">
        <v>55</v>
      </c>
      <c r="F14" s="31" t="s">
        <v>94</v>
      </c>
      <c r="G14" s="31" t="s">
        <v>56</v>
      </c>
      <c r="H14" s="31" t="s">
        <v>57</v>
      </c>
      <c r="I14" s="31" t="s">
        <v>52</v>
      </c>
      <c r="J14" s="32" t="s">
        <v>102</v>
      </c>
      <c r="K14" s="10"/>
    </row>
    <row r="15" spans="2:11" ht="130.5">
      <c r="B15" s="8"/>
      <c r="C15" s="31" t="s">
        <v>58</v>
      </c>
      <c r="D15" s="31" t="s">
        <v>59</v>
      </c>
      <c r="E15" s="31" t="s">
        <v>60</v>
      </c>
      <c r="F15" s="28" t="s">
        <v>95</v>
      </c>
      <c r="G15" s="31" t="s">
        <v>61</v>
      </c>
      <c r="H15" s="31" t="s">
        <v>62</v>
      </c>
      <c r="I15" s="31" t="s">
        <v>52</v>
      </c>
      <c r="J15" s="32" t="s">
        <v>102</v>
      </c>
      <c r="K15" s="10"/>
    </row>
    <row r="16" spans="2:11" ht="116">
      <c r="B16" s="8"/>
      <c r="C16" s="31" t="s">
        <v>63</v>
      </c>
      <c r="D16" s="31" t="s">
        <v>64</v>
      </c>
      <c r="E16" s="31" t="s">
        <v>65</v>
      </c>
      <c r="F16" s="28" t="s">
        <v>100</v>
      </c>
      <c r="G16" s="31" t="s">
        <v>66</v>
      </c>
      <c r="H16" s="31" t="s">
        <v>67</v>
      </c>
      <c r="I16" s="31" t="s">
        <v>52</v>
      </c>
      <c r="J16" s="32" t="s">
        <v>102</v>
      </c>
      <c r="K16" s="10"/>
    </row>
    <row r="17" spans="2:11" ht="43.5">
      <c r="B17" s="8"/>
      <c r="C17" s="31" t="s">
        <v>68</v>
      </c>
      <c r="D17" s="31" t="s">
        <v>69</v>
      </c>
      <c r="E17" s="31" t="s">
        <v>70</v>
      </c>
      <c r="F17" t="s">
        <v>101</v>
      </c>
      <c r="G17" s="31" t="s">
        <v>71</v>
      </c>
      <c r="H17" s="31" t="s">
        <v>72</v>
      </c>
      <c r="I17" s="31" t="s">
        <v>52</v>
      </c>
      <c r="J17" s="32" t="s">
        <v>102</v>
      </c>
      <c r="K17" s="10"/>
    </row>
    <row r="18" spans="2:11" ht="43.5">
      <c r="B18" s="8"/>
      <c r="C18" s="31" t="s">
        <v>73</v>
      </c>
      <c r="D18" s="31" t="s">
        <v>74</v>
      </c>
      <c r="E18" s="31" t="s">
        <v>75</v>
      </c>
      <c r="F18" t="s">
        <v>98</v>
      </c>
      <c r="G18" s="31" t="s">
        <v>76</v>
      </c>
      <c r="H18" s="31" t="s">
        <v>77</v>
      </c>
      <c r="I18" s="31" t="s">
        <v>52</v>
      </c>
      <c r="J18" s="32" t="s">
        <v>102</v>
      </c>
      <c r="K18" s="10"/>
    </row>
    <row r="19" spans="2:11" ht="43.5">
      <c r="B19" s="8"/>
      <c r="C19" s="31" t="s">
        <v>78</v>
      </c>
      <c r="D19" s="31" t="s">
        <v>79</v>
      </c>
      <c r="E19" s="31" t="s">
        <v>80</v>
      </c>
      <c r="F19" s="29" t="s">
        <v>99</v>
      </c>
      <c r="G19" s="31" t="s">
        <v>81</v>
      </c>
      <c r="H19" s="31" t="s">
        <v>82</v>
      </c>
      <c r="I19" s="31" t="s">
        <v>52</v>
      </c>
      <c r="J19" s="32" t="s">
        <v>102</v>
      </c>
      <c r="K19" s="10"/>
    </row>
    <row r="20" spans="2:11" ht="43.5">
      <c r="B20" s="8"/>
      <c r="C20" s="31" t="s">
        <v>83</v>
      </c>
      <c r="D20" s="31" t="s">
        <v>84</v>
      </c>
      <c r="E20" s="31" t="s">
        <v>85</v>
      </c>
      <c r="F20" s="29" t="s">
        <v>97</v>
      </c>
      <c r="G20" s="31" t="s">
        <v>86</v>
      </c>
      <c r="H20" s="31" t="s">
        <v>87</v>
      </c>
      <c r="I20" s="31" t="s">
        <v>52</v>
      </c>
      <c r="J20" s="32" t="s">
        <v>102</v>
      </c>
      <c r="K20" s="10"/>
    </row>
    <row r="21" spans="2:11" ht="145">
      <c r="B21" s="8"/>
      <c r="C21" s="31" t="s">
        <v>88</v>
      </c>
      <c r="D21" s="31" t="s">
        <v>89</v>
      </c>
      <c r="E21" s="31" t="s">
        <v>90</v>
      </c>
      <c r="F21" s="31" t="s">
        <v>96</v>
      </c>
      <c r="G21" s="31" t="s">
        <v>91</v>
      </c>
      <c r="H21" s="31" t="s">
        <v>92</v>
      </c>
      <c r="I21" s="31" t="s">
        <v>52</v>
      </c>
      <c r="J21" s="32" t="s">
        <v>102</v>
      </c>
      <c r="K21" s="10"/>
    </row>
    <row r="22" spans="2:11">
      <c r="B22" s="8"/>
      <c r="C22" s="29"/>
      <c r="D22" s="29"/>
      <c r="E22" s="29"/>
      <c r="F22" s="29"/>
      <c r="G22" s="29"/>
      <c r="H22" s="29"/>
      <c r="I22" s="29"/>
      <c r="J22" s="29"/>
      <c r="K22" s="10"/>
    </row>
    <row r="23" spans="2:11">
      <c r="B23" s="8"/>
      <c r="C23" s="29"/>
      <c r="D23" s="29"/>
      <c r="E23" s="29"/>
      <c r="F23" s="29"/>
      <c r="G23" s="29"/>
      <c r="H23" s="29"/>
      <c r="I23" s="29"/>
      <c r="J23" s="29"/>
      <c r="K23" s="10"/>
    </row>
    <row r="24" spans="2:11">
      <c r="B24" s="8"/>
      <c r="C24" s="29"/>
      <c r="D24" s="29"/>
      <c r="E24" s="29"/>
      <c r="F24" s="29"/>
      <c r="G24" s="29"/>
      <c r="H24" s="29"/>
      <c r="I24" s="29"/>
      <c r="J24" s="29"/>
      <c r="K24" s="10"/>
    </row>
    <row r="25" spans="2:11">
      <c r="B25" s="8"/>
      <c r="C25" s="29"/>
      <c r="D25" s="29"/>
      <c r="E25" s="29"/>
      <c r="F25" s="29"/>
      <c r="G25" s="29"/>
      <c r="H25" s="29"/>
      <c r="I25" s="29"/>
      <c r="J25" s="29"/>
      <c r="K25" s="10"/>
    </row>
    <row r="26" spans="2:11">
      <c r="B26" s="8"/>
      <c r="C26" s="29"/>
      <c r="D26" s="29"/>
      <c r="E26" s="29"/>
      <c r="F26" s="29"/>
      <c r="G26" s="29"/>
      <c r="H26" s="29"/>
      <c r="I26" s="29"/>
      <c r="J26" s="29"/>
      <c r="K26" s="10"/>
    </row>
    <row r="27" spans="2:11">
      <c r="B27" s="8"/>
      <c r="C27" s="29"/>
      <c r="D27" s="29"/>
      <c r="E27" s="29"/>
      <c r="F27" s="29"/>
      <c r="G27" s="29"/>
      <c r="H27" s="29"/>
      <c r="I27" s="29"/>
      <c r="J27" s="29"/>
      <c r="K27" s="10"/>
    </row>
    <row r="28" spans="2:11">
      <c r="B28" s="8"/>
      <c r="C28" s="29"/>
      <c r="D28" s="29"/>
      <c r="E28" s="29"/>
      <c r="F28" s="29"/>
      <c r="G28" s="29"/>
      <c r="H28" s="29"/>
      <c r="I28" s="29"/>
      <c r="J28" s="29"/>
      <c r="K28" s="10"/>
    </row>
    <row r="29" spans="2:11">
      <c r="B29" s="8"/>
      <c r="C29" s="29"/>
      <c r="D29" s="29"/>
      <c r="E29" s="29"/>
      <c r="F29" s="29"/>
      <c r="G29" s="29"/>
      <c r="H29" s="29"/>
      <c r="I29" s="29"/>
      <c r="J29" s="29"/>
      <c r="K29" s="10"/>
    </row>
    <row r="30" spans="2:11">
      <c r="B30" s="8"/>
      <c r="C30" s="29"/>
      <c r="D30" s="29"/>
      <c r="E30" s="29"/>
      <c r="F30" s="29"/>
      <c r="G30" s="29"/>
      <c r="H30" s="29"/>
      <c r="I30" s="29"/>
      <c r="J30" s="29"/>
      <c r="K30" s="10"/>
    </row>
    <row r="31" spans="2:11">
      <c r="B31" s="8"/>
      <c r="C31" s="19" t="s">
        <v>40</v>
      </c>
      <c r="D31" s="19"/>
      <c r="E31" s="19"/>
      <c r="F31" s="19"/>
      <c r="G31" s="19"/>
      <c r="H31" s="19"/>
      <c r="I31" s="19"/>
      <c r="J31" s="19"/>
      <c r="K31" s="10"/>
    </row>
    <row r="32" spans="2:11" ht="15" thickBot="1">
      <c r="B32" s="12"/>
      <c r="C32" s="13"/>
      <c r="D32" s="13"/>
      <c r="E32" s="13"/>
      <c r="F32" s="13"/>
      <c r="G32" s="13"/>
      <c r="H32" s="13"/>
      <c r="I32" s="13"/>
      <c r="J32" s="13"/>
      <c r="K32" s="14"/>
    </row>
  </sheetData>
  <mergeCells count="9">
    <mergeCell ref="C6:E6"/>
    <mergeCell ref="F6:H6"/>
    <mergeCell ref="C1:J1"/>
    <mergeCell ref="C3:E3"/>
    <mergeCell ref="F3:H3"/>
    <mergeCell ref="C4:E4"/>
    <mergeCell ref="F4:H4"/>
    <mergeCell ref="C5:E5"/>
    <mergeCell ref="F5:H5"/>
  </mergeCells>
  <dataValidations count="1">
    <dataValidation type="list" allowBlank="1" showInputMessage="1" showErrorMessage="1" sqref="I10:I31" xr:uid="{6423CF44-B117-6A49-8B87-187F1B9614EB}">
      <formula1>"PASSED, FAILED, SKIPPED"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12AF445DB6E74EB51FE2F8964C2B9F" ma:contentTypeVersion="15" ma:contentTypeDescription="Create a new document." ma:contentTypeScope="" ma:versionID="27287dfc179c773ec31861789c2f0f2d">
  <xsd:schema xmlns:xsd="http://www.w3.org/2001/XMLSchema" xmlns:xs="http://www.w3.org/2001/XMLSchema" xmlns:p="http://schemas.microsoft.com/office/2006/metadata/properties" xmlns:ns2="3e1c734f-cd3c-409a-b830-21836909dd77" xmlns:ns3="f800943e-7719-4474-9402-4616db300049" targetNamespace="http://schemas.microsoft.com/office/2006/metadata/properties" ma:root="true" ma:fieldsID="40b2d6211fb3edee40dd6cb4ddb7186b" ns2:_="" ns3:_="">
    <xsd:import namespace="3e1c734f-cd3c-409a-b830-21836909dd77"/>
    <xsd:import namespace="f800943e-7719-4474-9402-4616db30004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c734f-cd3c-409a-b830-21836909dd7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353adee-5e9f-4b50-890c-aef0d51a54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00943e-7719-4474-9402-4616db3000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c734f-cd3c-409a-b830-21836909dd7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582EAC-4B3A-4171-A733-AC08C0C5E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c734f-cd3c-409a-b830-21836909dd77"/>
    <ds:schemaRef ds:uri="f800943e-7719-4474-9402-4616db3000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641166-645D-48C9-B009-6F7693CB1C65}">
  <ds:schemaRefs>
    <ds:schemaRef ds:uri="http://schemas.microsoft.com/office/2006/metadata/properties"/>
    <ds:schemaRef ds:uri="http://schemas.microsoft.com/office/infopath/2007/PartnerControls"/>
    <ds:schemaRef ds:uri="3e1c734f-cd3c-409a-b830-21836909dd77"/>
  </ds:schemaRefs>
</ds:datastoreItem>
</file>

<file path=customXml/itemProps3.xml><?xml version="1.0" encoding="utf-8"?>
<ds:datastoreItem xmlns:ds="http://schemas.openxmlformats.org/officeDocument/2006/customXml" ds:itemID="{97BC128E-38CA-43A2-87FE-F6B2DBC9102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TRACEABILITY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 CC</dc:creator>
  <cp:keywords/>
  <dc:description/>
  <cp:lastModifiedBy>BTAIML3-2 MOHAN TALISETTY</cp:lastModifiedBy>
  <cp:revision/>
  <dcterms:created xsi:type="dcterms:W3CDTF">2023-08-18T02:43:40Z</dcterms:created>
  <dcterms:modified xsi:type="dcterms:W3CDTF">2026-04-25T16:23:19Z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</Properties>
</file>